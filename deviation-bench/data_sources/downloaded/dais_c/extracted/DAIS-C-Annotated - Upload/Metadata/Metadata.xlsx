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OliNe\Desktop\Flash Drive\PhD\Working\DAI-C-Annotated\"/>
    </mc:Choice>
  </mc:AlternateContent>
  <xr:revisionPtr revIDLastSave="0" documentId="13_ncr:1_{EC11F7C5-C113-4038-93B1-21CFE55BE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C36" i="1"/>
</calcChain>
</file>

<file path=xl/sharedStrings.xml><?xml version="1.0" encoding="utf-8"?>
<sst xmlns="http://schemas.openxmlformats.org/spreadsheetml/2006/main" count="735" uniqueCount="136">
  <si>
    <t>Participant ID</t>
  </si>
  <si>
    <t>group</t>
  </si>
  <si>
    <t>age</t>
  </si>
  <si>
    <t>sex</t>
  </si>
  <si>
    <t>gender</t>
  </si>
  <si>
    <t>diagnosis</t>
  </si>
  <si>
    <t>medication</t>
  </si>
  <si>
    <t>locale</t>
  </si>
  <si>
    <t>audio quality</t>
  </si>
  <si>
    <t>duration</t>
  </si>
  <si>
    <t>interviewer device</t>
  </si>
  <si>
    <t>participant device</t>
  </si>
  <si>
    <t>recording setup</t>
  </si>
  <si>
    <t>recording date</t>
  </si>
  <si>
    <t>recording time</t>
  </si>
  <si>
    <t>interview question</t>
  </si>
  <si>
    <t>&lt;21AN11&gt;</t>
  </si>
  <si>
    <t>male</t>
  </si>
  <si>
    <t>man</t>
  </si>
  <si>
    <t xml:space="preserve">paranoid schizophrenia </t>
  </si>
  <si>
    <t>interview location</t>
  </si>
  <si>
    <t>acceptable</t>
  </si>
  <si>
    <t>telephone (mobile)</t>
  </si>
  <si>
    <t>speakerphone to microphone</t>
  </si>
  <si>
    <t>do you feel like you do creative things with language?</t>
  </si>
  <si>
    <t>&lt;26AN12&gt;</t>
  </si>
  <si>
    <t xml:space="preserve">schizophrenia </t>
  </si>
  <si>
    <t>good</t>
  </si>
  <si>
    <t>do you feel like you use language creatively?</t>
  </si>
  <si>
    <t>&lt;03EB14&gt;</t>
  </si>
  <si>
    <t>&lt;10EB14&gt;</t>
  </si>
  <si>
    <t>residential care home</t>
  </si>
  <si>
    <t>home address</t>
  </si>
  <si>
    <t>telephone (landline)</t>
  </si>
  <si>
    <t>do you feel like  you do creative things with language?</t>
  </si>
  <si>
    <t>&lt;10EB15&gt;</t>
  </si>
  <si>
    <t>female</t>
  </si>
  <si>
    <t>woman</t>
  </si>
  <si>
    <t>&lt;03AR15&gt;</t>
  </si>
  <si>
    <t>yes</t>
  </si>
  <si>
    <t>known extrapyramidal side effects (EPSEs)</t>
  </si>
  <si>
    <t>&lt;26AR16&gt;</t>
  </si>
  <si>
    <t>Clozapine depot</t>
  </si>
  <si>
    <t>Risperdal Consta (risperidone) depot; procycladine for EPSEs</t>
  </si>
  <si>
    <t>Clopixol (zuclopenthixol decanonate) depot; procycladine for EPSEs</t>
  </si>
  <si>
    <t>historic clinical observations</t>
  </si>
  <si>
    <t>&lt;21AP15&gt;</t>
  </si>
  <si>
    <t>&lt;22AP15&gt;</t>
  </si>
  <si>
    <t>&lt;12AY15&gt;</t>
  </si>
  <si>
    <t>&lt;21UN11&gt;</t>
  </si>
  <si>
    <t>&lt;18UG09&gt;</t>
  </si>
  <si>
    <t>open ward (forensic)</t>
  </si>
  <si>
    <t>Lancashire</t>
  </si>
  <si>
    <t>excellent</t>
  </si>
  <si>
    <t>interview mode</t>
  </si>
  <si>
    <t>telephone</t>
  </si>
  <si>
    <t>face-to-face</t>
  </si>
  <si>
    <t>face mask (interviewer)</t>
  </si>
  <si>
    <t>face mask (participant)</t>
  </si>
  <si>
    <t>desktop microphone</t>
  </si>
  <si>
    <t>&lt;18UG10&gt;</t>
  </si>
  <si>
    <t>microphone to laptop</t>
  </si>
  <si>
    <t>&lt;18UG11&gt;</t>
  </si>
  <si>
    <t>&lt;18UG14&gt;</t>
  </si>
  <si>
    <t>interviewer observations</t>
  </si>
  <si>
    <t>&lt;18UG15&gt;</t>
  </si>
  <si>
    <t>how was the experiment?</t>
  </si>
  <si>
    <t>initial question type</t>
  </si>
  <si>
    <t>closed</t>
  </si>
  <si>
    <t>open</t>
  </si>
  <si>
    <t>&lt;11AR18&gt;</t>
  </si>
  <si>
    <t>South East</t>
  </si>
  <si>
    <t>London (North East)</t>
  </si>
  <si>
    <t>archival consent</t>
  </si>
  <si>
    <t>A (clinical)</t>
  </si>
  <si>
    <t>C (comparison)</t>
  </si>
  <si>
    <t>&lt;16UN16&gt;</t>
  </si>
  <si>
    <t>no</t>
  </si>
  <si>
    <t>&lt;16UN13&gt;</t>
  </si>
  <si>
    <t>South Wales</t>
  </si>
  <si>
    <t>desktop computer</t>
  </si>
  <si>
    <t>recording software</t>
  </si>
  <si>
    <t>education level</t>
  </si>
  <si>
    <t>L8</t>
  </si>
  <si>
    <t>L7</t>
  </si>
  <si>
    <t>North West</t>
  </si>
  <si>
    <t>&lt;23EB14&gt;</t>
  </si>
  <si>
    <t>South West</t>
  </si>
  <si>
    <t>L6</t>
  </si>
  <si>
    <t>none reported</t>
  </si>
  <si>
    <t>&lt;02AR17&gt;</t>
  </si>
  <si>
    <t>&lt;09AR14&gt;</t>
  </si>
  <si>
    <t>&lt;16OV11&gt;</t>
  </si>
  <si>
    <t>&lt;19OV10&gt;</t>
  </si>
  <si>
    <t>&lt;23OV14&gt;</t>
  </si>
  <si>
    <t>&lt;28CT11&gt;</t>
  </si>
  <si>
    <t>&lt;30CT09&gt;</t>
  </si>
  <si>
    <t>video call (video on)</t>
  </si>
  <si>
    <t>video call (video off)</t>
  </si>
  <si>
    <t>interview only</t>
  </si>
  <si>
    <t>experiment pathway</t>
  </si>
  <si>
    <t>P1</t>
  </si>
  <si>
    <t>P2</t>
  </si>
  <si>
    <t>CLQT(+)</t>
  </si>
  <si>
    <t>CLQT+</t>
  </si>
  <si>
    <t>CLQT</t>
  </si>
  <si>
    <t>CLQT order</t>
  </si>
  <si>
    <t>pre-experiment</t>
  </si>
  <si>
    <t>experiment mode</t>
  </si>
  <si>
    <t>remote</t>
  </si>
  <si>
    <t>&lt;17AR13&gt;</t>
  </si>
  <si>
    <t>post-experiment</t>
  </si>
  <si>
    <t>desktop/laptop computer</t>
  </si>
  <si>
    <t>Midlands</t>
  </si>
  <si>
    <t>London (Greater)</t>
  </si>
  <si>
    <t>Midlands (East)</t>
  </si>
  <si>
    <t>handedness</t>
  </si>
  <si>
    <t>right</t>
  </si>
  <si>
    <t>left</t>
  </si>
  <si>
    <t>GP consent</t>
  </si>
  <si>
    <t>n/a</t>
  </si>
  <si>
    <t>due to a technical error, only interviewee audio was recorded.</t>
  </si>
  <si>
    <t>total clinical interview time:</t>
  </si>
  <si>
    <t>total comparison interview time:</t>
  </si>
  <si>
    <t>profound dysarthria</t>
  </si>
  <si>
    <t>&lt;26CT11&gt;</t>
  </si>
  <si>
    <t>&lt;23CT18&gt;</t>
  </si>
  <si>
    <t>&lt;23CT19&gt;</t>
  </si>
  <si>
    <t>not Clozapine, specific undisclosed</t>
  </si>
  <si>
    <t>Olanzapine, lamotrigine</t>
  </si>
  <si>
    <t>Flupentixol</t>
  </si>
  <si>
    <t>Clozapine depot, aripiprazole, lamotrigine</t>
  </si>
  <si>
    <t>undisclosed</t>
  </si>
  <si>
    <t>not applicable</t>
  </si>
  <si>
    <t>audio file corrupted, could not transcribe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</si>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</sst>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9">
    <xf numFmtId="0" fontId="0" fillId="0" borderId="0" xfId="0"/>
    <xf numFmtId="0" fontId="2" fillId="4" borderId="0" xfId="2" applyFill="1" applyAlignment="1">
      <alignment horizontal="left"/>
    </xf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left" shrinkToFit="1"/>
    </xf>
    <xf numFmtId="0" fontId="4" fillId="4" borderId="0" xfId="2" applyFont="1" applyFill="1" applyAlignment="1">
      <alignment horizontal="left" shrinkToFit="1"/>
    </xf>
    <xf numFmtId="0" fontId="4" fillId="4" borderId="0" xfId="1" applyFont="1" applyFill="1" applyAlignment="1">
      <alignment horizontal="left"/>
    </xf>
    <xf numFmtId="0" fontId="4" fillId="4" borderId="0" xfId="2" applyFont="1" applyFill="1" applyAlignment="1">
      <alignment horizontal="left"/>
    </xf>
    <xf numFmtId="164" fontId="4" fillId="4" borderId="0" xfId="1" applyNumberFormat="1" applyFont="1" applyFill="1" applyAlignment="1">
      <alignment horizontal="left"/>
    </xf>
    <xf numFmtId="15" fontId="4" fillId="4" borderId="0" xfId="1" applyNumberFormat="1" applyFont="1" applyFill="1" applyAlignment="1">
      <alignment horizontal="left"/>
    </xf>
    <xf numFmtId="20" fontId="4" fillId="4" borderId="0" xfId="1" applyNumberFormat="1" applyFont="1" applyFill="1" applyAlignment="1">
      <alignment horizontal="left"/>
    </xf>
    <xf numFmtId="0" fontId="4" fillId="4" borderId="0" xfId="0" applyFont="1" applyFill="1" applyAlignment="1">
      <alignment horizontal="left"/>
    </xf>
    <xf numFmtId="164" fontId="4" fillId="4" borderId="0" xfId="2" applyNumberFormat="1" applyFont="1" applyFill="1" applyAlignment="1">
      <alignment horizontal="left"/>
    </xf>
    <xf numFmtId="15" fontId="4" fillId="4" borderId="0" xfId="2" applyNumberFormat="1" applyFont="1" applyFill="1" applyAlignment="1">
      <alignment horizontal="left"/>
    </xf>
    <xf numFmtId="20" fontId="4" fillId="4" borderId="0" xfId="2" applyNumberFormat="1" applyFont="1" applyFill="1" applyAlignment="1">
      <alignment horizontal="left"/>
    </xf>
    <xf numFmtId="0" fontId="4" fillId="4" borderId="0" xfId="1" applyFont="1" applyFill="1"/>
    <xf numFmtId="20" fontId="4" fillId="4" borderId="0" xfId="0" applyNumberFormat="1" applyFont="1" applyFill="1" applyAlignment="1">
      <alignment horizontal="left"/>
    </xf>
    <xf numFmtId="0" fontId="0" fillId="4" borderId="0" xfId="0" applyFill="1" applyAlignment="1">
      <alignment horizontal="left" shrinkToFit="1"/>
    </xf>
    <xf numFmtId="164" fontId="0" fillId="4" borderId="0" xfId="0" applyNumberFormat="1" applyFill="1" applyAlignment="1">
      <alignment horizontal="left"/>
    </xf>
    <xf numFmtId="0" fontId="0" fillId="4" borderId="0" xfId="0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"/>
  <sheetViews>
    <sheetView tabSelected="1" zoomScale="85" zoomScaleNormal="85" workbookViewId="0">
      <selection activeCell="H11" sqref="H11"/>
    </sheetView>
  </sheetViews>
  <sheetFormatPr defaultColWidth="9.109375" defaultRowHeight="14.4" x14ac:dyDescent="0.3"/>
  <cols>
    <col min="1" max="1" width="30.6640625" style="2" bestFit="1" customWidth="1"/>
    <col min="2" max="2" width="14.44140625" style="2" bestFit="1" customWidth="1"/>
    <col min="3" max="3" width="17.109375" style="2" customWidth="1"/>
    <col min="4" max="4" width="7.33203125" style="2" bestFit="1" customWidth="1"/>
    <col min="5" max="5" width="7.5546875" style="2" bestFit="1" customWidth="1"/>
    <col min="6" max="6" width="22.44140625" style="2" bestFit="1" customWidth="1"/>
    <col min="7" max="7" width="39.44140625" style="2" bestFit="1" customWidth="1"/>
    <col min="8" max="8" width="62.33203125" style="2" bestFit="1" customWidth="1"/>
    <col min="9" max="9" width="14" style="2" bestFit="1" customWidth="1"/>
    <col min="10" max="10" width="19.6640625" style="2" bestFit="1" customWidth="1"/>
    <col min="11" max="11" width="17.33203125" style="2" bestFit="1" customWidth="1"/>
    <col min="12" max="12" width="7.88671875" style="2" bestFit="1" customWidth="1"/>
    <col min="13" max="13" width="16.109375" style="2" bestFit="1" customWidth="1"/>
    <col min="14" max="14" width="11.6640625" style="2" bestFit="1" customWidth="1"/>
    <col min="15" max="15" width="19.5546875" style="2" bestFit="1" customWidth="1"/>
    <col min="16" max="16" width="22.44140625" style="2" bestFit="1" customWidth="1"/>
    <col min="17" max="17" width="21.5546875" style="2" bestFit="1" customWidth="1"/>
    <col min="18" max="18" width="20.5546875" style="2" bestFit="1" customWidth="1"/>
    <col min="19" max="19" width="18.88671875" style="2" bestFit="1" customWidth="1"/>
    <col min="20" max="20" width="12.5546875" style="2" bestFit="1" customWidth="1"/>
    <col min="21" max="21" width="8.5546875" style="2" bestFit="1" customWidth="1"/>
    <col min="22" max="22" width="19.5546875" style="2" bestFit="1" customWidth="1"/>
    <col min="23" max="23" width="24.109375" style="2" bestFit="1" customWidth="1"/>
    <col min="24" max="24" width="27.6640625" style="2" bestFit="1" customWidth="1"/>
    <col min="25" max="25" width="14" style="2" bestFit="1" customWidth="1"/>
    <col min="26" max="26" width="14.109375" style="2" bestFit="1" customWidth="1"/>
    <col min="27" max="27" width="14.88671875" style="2" bestFit="1" customWidth="1"/>
    <col min="28" max="28" width="11" style="2" bestFit="1" customWidth="1"/>
    <col min="29" max="29" width="15.44140625" style="2" bestFit="1" customWidth="1"/>
    <col min="30" max="30" width="19.109375" style="2" bestFit="1" customWidth="1"/>
    <col min="31" max="31" width="50.109375" style="2" bestFit="1" customWidth="1"/>
    <col min="32" max="32" width="251.33203125" style="2" bestFit="1" customWidth="1"/>
    <col min="33" max="33" width="57.44140625" style="2" bestFit="1" customWidth="1"/>
    <col min="34" max="16384" width="9.109375" style="2"/>
  </cols>
  <sheetData>
    <row r="1" spans="1:33" s="16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40</v>
      </c>
      <c r="H1" s="3" t="s">
        <v>6</v>
      </c>
      <c r="I1" s="3" t="s">
        <v>99</v>
      </c>
      <c r="J1" s="3" t="s">
        <v>100</v>
      </c>
      <c r="K1" s="3" t="s">
        <v>108</v>
      </c>
      <c r="L1" s="3" t="s">
        <v>103</v>
      </c>
      <c r="M1" s="3" t="s">
        <v>106</v>
      </c>
      <c r="N1" s="3" t="s">
        <v>116</v>
      </c>
      <c r="O1" s="3" t="s">
        <v>54</v>
      </c>
      <c r="P1" s="4" t="s">
        <v>57</v>
      </c>
      <c r="Q1" s="4" t="s">
        <v>58</v>
      </c>
      <c r="R1" s="3" t="s">
        <v>20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82</v>
      </c>
      <c r="AB1" s="3" t="s">
        <v>119</v>
      </c>
      <c r="AC1" s="3" t="s">
        <v>73</v>
      </c>
      <c r="AD1" s="3" t="s">
        <v>67</v>
      </c>
      <c r="AE1" s="3" t="s">
        <v>15</v>
      </c>
      <c r="AF1" s="3" t="s">
        <v>45</v>
      </c>
      <c r="AG1" s="3" t="s">
        <v>64</v>
      </c>
    </row>
    <row r="2" spans="1:33" x14ac:dyDescent="0.3">
      <c r="A2" s="5" t="s">
        <v>16</v>
      </c>
      <c r="B2" s="5" t="s">
        <v>74</v>
      </c>
      <c r="C2" s="5">
        <v>55</v>
      </c>
      <c r="D2" s="5" t="s">
        <v>17</v>
      </c>
      <c r="E2" s="5" t="s">
        <v>18</v>
      </c>
      <c r="F2" s="5" t="s">
        <v>19</v>
      </c>
      <c r="G2" s="5"/>
      <c r="H2" s="5" t="s">
        <v>42</v>
      </c>
      <c r="I2" s="5" t="s">
        <v>39</v>
      </c>
      <c r="J2" s="5"/>
      <c r="K2" s="5"/>
      <c r="L2" s="5"/>
      <c r="M2" s="5"/>
      <c r="N2" s="5"/>
      <c r="O2" s="5" t="s">
        <v>55</v>
      </c>
      <c r="P2" s="6"/>
      <c r="Q2" s="6"/>
      <c r="R2" s="5" t="s">
        <v>32</v>
      </c>
      <c r="S2" s="5" t="s">
        <v>72</v>
      </c>
      <c r="T2" s="5" t="s">
        <v>21</v>
      </c>
      <c r="U2" s="7">
        <v>5.9212962962962967E-2</v>
      </c>
      <c r="V2" s="5" t="s">
        <v>22</v>
      </c>
      <c r="W2" s="5" t="s">
        <v>22</v>
      </c>
      <c r="X2" s="5" t="s">
        <v>23</v>
      </c>
      <c r="Y2" s="8">
        <v>44217</v>
      </c>
      <c r="Z2" s="9">
        <v>0.45833333333333331</v>
      </c>
      <c r="AA2" s="9" t="s">
        <v>135</v>
      </c>
      <c r="AB2" s="9" t="s">
        <v>39</v>
      </c>
      <c r="AC2" s="9" t="s">
        <v>39</v>
      </c>
      <c r="AD2" s="9" t="s">
        <v>68</v>
      </c>
      <c r="AE2" s="5" t="s">
        <v>24</v>
      </c>
      <c r="AF2" s="5" t="s">
        <v>89</v>
      </c>
      <c r="AG2" s="10"/>
    </row>
    <row r="3" spans="1:33" s="1" customFormat="1" x14ac:dyDescent="0.3">
      <c r="A3" s="6" t="s">
        <v>25</v>
      </c>
      <c r="B3" s="6" t="s">
        <v>74</v>
      </c>
      <c r="C3" s="6" t="s">
        <v>132</v>
      </c>
      <c r="D3" s="6" t="s">
        <v>17</v>
      </c>
      <c r="E3" s="6" t="s">
        <v>18</v>
      </c>
      <c r="F3" s="6" t="s">
        <v>26</v>
      </c>
      <c r="G3" s="6"/>
      <c r="H3" s="6" t="s">
        <v>42</v>
      </c>
      <c r="I3" s="6" t="s">
        <v>39</v>
      </c>
      <c r="J3" s="6"/>
      <c r="K3" s="6"/>
      <c r="L3" s="6"/>
      <c r="M3" s="6"/>
      <c r="N3" s="6"/>
      <c r="O3" s="6" t="s">
        <v>55</v>
      </c>
      <c r="P3" s="6"/>
      <c r="Q3" s="6"/>
      <c r="R3" s="6" t="s">
        <v>32</v>
      </c>
      <c r="S3" s="6" t="s">
        <v>72</v>
      </c>
      <c r="T3" s="6" t="s">
        <v>27</v>
      </c>
      <c r="U3" s="11">
        <v>8.1250000000000003E-2</v>
      </c>
      <c r="V3" s="6" t="s">
        <v>22</v>
      </c>
      <c r="W3" s="6" t="s">
        <v>22</v>
      </c>
      <c r="X3" s="6" t="s">
        <v>23</v>
      </c>
      <c r="Y3" s="12">
        <v>44222</v>
      </c>
      <c r="Z3" s="13">
        <v>0.5</v>
      </c>
      <c r="AA3" s="13"/>
      <c r="AB3" s="13" t="s">
        <v>39</v>
      </c>
      <c r="AC3" s="13" t="s">
        <v>39</v>
      </c>
      <c r="AD3" s="13" t="s">
        <v>68</v>
      </c>
      <c r="AE3" s="6" t="s">
        <v>28</v>
      </c>
      <c r="AF3" s="6" t="s">
        <v>89</v>
      </c>
      <c r="AG3" s="6"/>
    </row>
    <row r="4" spans="1:33" x14ac:dyDescent="0.3">
      <c r="A4" s="5" t="s">
        <v>29</v>
      </c>
      <c r="B4" s="5" t="s">
        <v>74</v>
      </c>
      <c r="C4" s="5" t="s">
        <v>132</v>
      </c>
      <c r="D4" s="5" t="s">
        <v>17</v>
      </c>
      <c r="E4" s="5" t="s">
        <v>18</v>
      </c>
      <c r="F4" s="5" t="s">
        <v>26</v>
      </c>
      <c r="G4" s="5"/>
      <c r="H4" s="5" t="s">
        <v>42</v>
      </c>
      <c r="I4" s="5" t="s">
        <v>39</v>
      </c>
      <c r="J4" s="5"/>
      <c r="K4" s="5"/>
      <c r="L4" s="5"/>
      <c r="M4" s="5"/>
      <c r="N4" s="5"/>
      <c r="O4" s="5" t="s">
        <v>55</v>
      </c>
      <c r="P4" s="6"/>
      <c r="Q4" s="6"/>
      <c r="R4" s="5" t="s">
        <v>32</v>
      </c>
      <c r="S4" s="5" t="s">
        <v>72</v>
      </c>
      <c r="T4" s="5" t="s">
        <v>27</v>
      </c>
      <c r="U4" s="7">
        <v>7.1851851851851847E-2</v>
      </c>
      <c r="V4" s="5" t="s">
        <v>22</v>
      </c>
      <c r="W4" s="5" t="s">
        <v>22</v>
      </c>
      <c r="X4" s="5" t="s">
        <v>23</v>
      </c>
      <c r="Y4" s="8">
        <v>44230</v>
      </c>
      <c r="Z4" s="9">
        <v>0.58333333333333337</v>
      </c>
      <c r="AA4" s="9" t="s">
        <v>135</v>
      </c>
      <c r="AB4" s="9" t="s">
        <v>39</v>
      </c>
      <c r="AC4" s="9" t="s">
        <v>39</v>
      </c>
      <c r="AD4" s="9" t="s">
        <v>68</v>
      </c>
      <c r="AE4" s="5" t="s">
        <v>28</v>
      </c>
      <c r="AF4" s="5" t="s">
        <v>89</v>
      </c>
      <c r="AG4" s="10"/>
    </row>
    <row r="5" spans="1:33" x14ac:dyDescent="0.3">
      <c r="A5" s="5" t="s">
        <v>30</v>
      </c>
      <c r="B5" s="5" t="s">
        <v>74</v>
      </c>
      <c r="C5" s="5" t="s">
        <v>132</v>
      </c>
      <c r="D5" s="5" t="s">
        <v>17</v>
      </c>
      <c r="E5" s="5" t="s">
        <v>18</v>
      </c>
      <c r="F5" s="5" t="s">
        <v>26</v>
      </c>
      <c r="G5" s="5"/>
      <c r="H5" s="5" t="s">
        <v>42</v>
      </c>
      <c r="I5" s="5" t="s">
        <v>39</v>
      </c>
      <c r="J5" s="5"/>
      <c r="K5" s="5"/>
      <c r="L5" s="5"/>
      <c r="M5" s="5"/>
      <c r="N5" s="5"/>
      <c r="O5" s="5" t="s">
        <v>55</v>
      </c>
      <c r="P5" s="6"/>
      <c r="Q5" s="6"/>
      <c r="R5" s="5" t="s">
        <v>31</v>
      </c>
      <c r="S5" s="5" t="s">
        <v>72</v>
      </c>
      <c r="T5" s="5" t="s">
        <v>27</v>
      </c>
      <c r="U5" s="7">
        <v>2.3344907407407408E-2</v>
      </c>
      <c r="V5" s="5" t="s">
        <v>22</v>
      </c>
      <c r="W5" s="5" t="s">
        <v>33</v>
      </c>
      <c r="X5" s="5" t="s">
        <v>23</v>
      </c>
      <c r="Y5" s="8">
        <v>44237</v>
      </c>
      <c r="Z5" s="9">
        <v>0.58333333333333337</v>
      </c>
      <c r="AA5" s="9" t="s">
        <v>135</v>
      </c>
      <c r="AB5" s="9" t="s">
        <v>39</v>
      </c>
      <c r="AC5" s="9" t="s">
        <v>39</v>
      </c>
      <c r="AD5" s="9" t="s">
        <v>68</v>
      </c>
      <c r="AE5" s="5" t="s">
        <v>34</v>
      </c>
      <c r="AF5" s="5" t="s">
        <v>89</v>
      </c>
      <c r="AG5" s="10"/>
    </row>
    <row r="6" spans="1:33" x14ac:dyDescent="0.3">
      <c r="A6" s="5" t="s">
        <v>35</v>
      </c>
      <c r="B6" s="5" t="s">
        <v>74</v>
      </c>
      <c r="C6" s="5" t="s">
        <v>132</v>
      </c>
      <c r="D6" s="5" t="s">
        <v>36</v>
      </c>
      <c r="E6" s="5" t="s">
        <v>37</v>
      </c>
      <c r="F6" s="5" t="s">
        <v>26</v>
      </c>
      <c r="G6" s="5"/>
      <c r="H6" s="5" t="s">
        <v>42</v>
      </c>
      <c r="I6" s="5" t="s">
        <v>39</v>
      </c>
      <c r="J6" s="5"/>
      <c r="K6" s="5"/>
      <c r="L6" s="5"/>
      <c r="M6" s="5"/>
      <c r="N6" s="5"/>
      <c r="O6" s="5" t="s">
        <v>55</v>
      </c>
      <c r="P6" s="6"/>
      <c r="Q6" s="6"/>
      <c r="R6" s="5" t="s">
        <v>32</v>
      </c>
      <c r="S6" s="5" t="s">
        <v>72</v>
      </c>
      <c r="T6" s="5" t="s">
        <v>27</v>
      </c>
      <c r="U6" s="7">
        <v>3.3229166666666664E-2</v>
      </c>
      <c r="V6" s="5" t="s">
        <v>22</v>
      </c>
      <c r="W6" s="5" t="s">
        <v>22</v>
      </c>
      <c r="X6" s="5" t="s">
        <v>23</v>
      </c>
      <c r="Y6" s="8">
        <v>44237</v>
      </c>
      <c r="Z6" s="9">
        <v>0.625</v>
      </c>
      <c r="AA6" s="9" t="s">
        <v>135</v>
      </c>
      <c r="AB6" s="9" t="s">
        <v>39</v>
      </c>
      <c r="AC6" s="9" t="s">
        <v>39</v>
      </c>
      <c r="AD6" s="9" t="s">
        <v>68</v>
      </c>
      <c r="AE6" s="5" t="s">
        <v>24</v>
      </c>
      <c r="AF6" s="5" t="s">
        <v>89</v>
      </c>
      <c r="AG6" s="10"/>
    </row>
    <row r="7" spans="1:33" x14ac:dyDescent="0.3">
      <c r="A7" s="5" t="s">
        <v>38</v>
      </c>
      <c r="B7" s="5" t="s">
        <v>74</v>
      </c>
      <c r="C7" s="5" t="s">
        <v>132</v>
      </c>
      <c r="D7" s="5" t="s">
        <v>17</v>
      </c>
      <c r="E7" s="5" t="s">
        <v>18</v>
      </c>
      <c r="F7" s="5" t="s">
        <v>26</v>
      </c>
      <c r="G7" s="5" t="s">
        <v>39</v>
      </c>
      <c r="H7" s="5" t="s">
        <v>44</v>
      </c>
      <c r="I7" s="5" t="s">
        <v>39</v>
      </c>
      <c r="J7" s="5"/>
      <c r="K7" s="5"/>
      <c r="L7" s="5"/>
      <c r="M7" s="5"/>
      <c r="N7" s="5"/>
      <c r="O7" s="5" t="s">
        <v>55</v>
      </c>
      <c r="P7" s="6"/>
      <c r="Q7" s="6"/>
      <c r="R7" s="5" t="s">
        <v>32</v>
      </c>
      <c r="S7" s="5" t="s">
        <v>72</v>
      </c>
      <c r="T7" s="5" t="s">
        <v>27</v>
      </c>
      <c r="U7" s="7">
        <v>2.1226851851851854E-2</v>
      </c>
      <c r="V7" s="5" t="s">
        <v>22</v>
      </c>
      <c r="W7" s="5" t="s">
        <v>22</v>
      </c>
      <c r="X7" s="5" t="s">
        <v>23</v>
      </c>
      <c r="Y7" s="8">
        <v>44258</v>
      </c>
      <c r="Z7" s="9">
        <v>0.625</v>
      </c>
      <c r="AA7" s="9" t="s">
        <v>135</v>
      </c>
      <c r="AB7" s="9" t="s">
        <v>39</v>
      </c>
      <c r="AC7" s="9" t="s">
        <v>39</v>
      </c>
      <c r="AD7" s="9" t="s">
        <v>68</v>
      </c>
      <c r="AE7" s="5" t="s">
        <v>28</v>
      </c>
      <c r="AF7" s="5" t="s">
        <v>89</v>
      </c>
      <c r="AG7" s="10"/>
    </row>
    <row r="8" spans="1:33" x14ac:dyDescent="0.3">
      <c r="A8" s="5" t="s">
        <v>41</v>
      </c>
      <c r="B8" s="5" t="s">
        <v>74</v>
      </c>
      <c r="C8" s="5">
        <v>66</v>
      </c>
      <c r="D8" s="5" t="s">
        <v>36</v>
      </c>
      <c r="E8" s="5" t="s">
        <v>37</v>
      </c>
      <c r="F8" s="5" t="s">
        <v>26</v>
      </c>
      <c r="G8" s="5" t="s">
        <v>39</v>
      </c>
      <c r="H8" s="5" t="s">
        <v>43</v>
      </c>
      <c r="I8" s="5" t="s">
        <v>39</v>
      </c>
      <c r="J8" s="5"/>
      <c r="K8" s="5"/>
      <c r="L8" s="5"/>
      <c r="M8" s="5"/>
      <c r="N8" s="5"/>
      <c r="O8" s="5" t="s">
        <v>55</v>
      </c>
      <c r="P8" s="6"/>
      <c r="Q8" s="6"/>
      <c r="R8" s="5" t="s">
        <v>32</v>
      </c>
      <c r="S8" s="5" t="s">
        <v>72</v>
      </c>
      <c r="T8" s="5" t="s">
        <v>27</v>
      </c>
      <c r="U8" s="7">
        <v>3.0231481481481481E-2</v>
      </c>
      <c r="V8" s="5" t="s">
        <v>22</v>
      </c>
      <c r="W8" s="5" t="s">
        <v>22</v>
      </c>
      <c r="X8" s="5" t="s">
        <v>23</v>
      </c>
      <c r="Y8" s="8">
        <v>44281</v>
      </c>
      <c r="Z8" s="9">
        <v>0.66666666666666663</v>
      </c>
      <c r="AA8" s="9" t="s">
        <v>135</v>
      </c>
      <c r="AB8" s="9" t="s">
        <v>77</v>
      </c>
      <c r="AC8" s="9" t="s">
        <v>39</v>
      </c>
      <c r="AD8" s="9" t="s">
        <v>68</v>
      </c>
      <c r="AE8" s="5" t="s">
        <v>28</v>
      </c>
      <c r="AF8" s="5" t="s">
        <v>89</v>
      </c>
      <c r="AG8" s="10"/>
    </row>
    <row r="9" spans="1:33" x14ac:dyDescent="0.3">
      <c r="A9" s="5" t="s">
        <v>46</v>
      </c>
      <c r="B9" s="5" t="s">
        <v>74</v>
      </c>
      <c r="C9" s="5" t="s">
        <v>132</v>
      </c>
      <c r="D9" s="5" t="s">
        <v>17</v>
      </c>
      <c r="E9" s="5" t="s">
        <v>18</v>
      </c>
      <c r="F9" s="5" t="s">
        <v>26</v>
      </c>
      <c r="G9" s="5"/>
      <c r="H9" s="5" t="s">
        <v>42</v>
      </c>
      <c r="I9" s="5" t="s">
        <v>39</v>
      </c>
      <c r="J9" s="5"/>
      <c r="K9" s="5"/>
      <c r="L9" s="5"/>
      <c r="M9" s="5"/>
      <c r="N9" s="5"/>
      <c r="O9" s="5" t="s">
        <v>55</v>
      </c>
      <c r="P9" s="6"/>
      <c r="Q9" s="6"/>
      <c r="R9" s="5" t="s">
        <v>32</v>
      </c>
      <c r="S9" s="5" t="s">
        <v>72</v>
      </c>
      <c r="T9" s="5" t="s">
        <v>27</v>
      </c>
      <c r="U9" s="7">
        <v>2.1724537037037039E-2</v>
      </c>
      <c r="V9" s="5" t="s">
        <v>22</v>
      </c>
      <c r="W9" s="5" t="s">
        <v>22</v>
      </c>
      <c r="X9" s="5" t="s">
        <v>23</v>
      </c>
      <c r="Y9" s="8">
        <v>44307</v>
      </c>
      <c r="Z9" s="9">
        <v>0.625</v>
      </c>
      <c r="AA9" s="9" t="s">
        <v>135</v>
      </c>
      <c r="AB9" s="9" t="s">
        <v>39</v>
      </c>
      <c r="AC9" s="9" t="s">
        <v>39</v>
      </c>
      <c r="AD9" s="9" t="s">
        <v>68</v>
      </c>
      <c r="AE9" s="5" t="s">
        <v>24</v>
      </c>
      <c r="AF9" s="5" t="s">
        <v>89</v>
      </c>
      <c r="AG9" s="10"/>
    </row>
    <row r="10" spans="1:33" x14ac:dyDescent="0.3">
      <c r="A10" s="5" t="s">
        <v>47</v>
      </c>
      <c r="B10" s="5" t="s">
        <v>74</v>
      </c>
      <c r="C10" s="5" t="s">
        <v>132</v>
      </c>
      <c r="D10" s="5" t="s">
        <v>17</v>
      </c>
      <c r="E10" s="5" t="s">
        <v>18</v>
      </c>
      <c r="F10" s="5" t="s">
        <v>26</v>
      </c>
      <c r="G10" s="5"/>
      <c r="H10" s="5" t="s">
        <v>42</v>
      </c>
      <c r="I10" s="5" t="s">
        <v>39</v>
      </c>
      <c r="J10" s="5"/>
      <c r="K10" s="5"/>
      <c r="L10" s="5"/>
      <c r="M10" s="5"/>
      <c r="N10" s="5"/>
      <c r="O10" s="5" t="s">
        <v>55</v>
      </c>
      <c r="P10" s="6"/>
      <c r="Q10" s="6"/>
      <c r="R10" s="5" t="s">
        <v>32</v>
      </c>
      <c r="S10" s="5" t="s">
        <v>72</v>
      </c>
      <c r="T10" s="5" t="s">
        <v>27</v>
      </c>
      <c r="U10" s="7">
        <v>7.8819444444444432E-3</v>
      </c>
      <c r="V10" s="5" t="s">
        <v>22</v>
      </c>
      <c r="W10" s="5" t="s">
        <v>22</v>
      </c>
      <c r="X10" s="5" t="s">
        <v>23</v>
      </c>
      <c r="Y10" s="8">
        <v>44308</v>
      </c>
      <c r="Z10" s="9">
        <v>0.625</v>
      </c>
      <c r="AA10" s="9" t="s">
        <v>135</v>
      </c>
      <c r="AB10" s="9" t="s">
        <v>39</v>
      </c>
      <c r="AC10" s="9" t="s">
        <v>39</v>
      </c>
      <c r="AD10" s="9" t="s">
        <v>68</v>
      </c>
      <c r="AE10" s="5" t="s">
        <v>24</v>
      </c>
      <c r="AF10" s="5" t="s">
        <v>89</v>
      </c>
      <c r="AG10" s="10"/>
    </row>
    <row r="11" spans="1:33" x14ac:dyDescent="0.3">
      <c r="A11" s="5" t="s">
        <v>48</v>
      </c>
      <c r="B11" s="5" t="s">
        <v>74</v>
      </c>
      <c r="C11" s="5" t="s">
        <v>132</v>
      </c>
      <c r="D11" s="5" t="s">
        <v>36</v>
      </c>
      <c r="E11" s="5" t="s">
        <v>37</v>
      </c>
      <c r="F11" s="5" t="s">
        <v>26</v>
      </c>
      <c r="G11" s="5"/>
      <c r="H11" s="5" t="s">
        <v>42</v>
      </c>
      <c r="I11" s="5" t="s">
        <v>39</v>
      </c>
      <c r="J11" s="5"/>
      <c r="K11" s="5"/>
      <c r="L11" s="5"/>
      <c r="M11" s="5"/>
      <c r="N11" s="5"/>
      <c r="O11" s="5" t="s">
        <v>55</v>
      </c>
      <c r="P11" s="6"/>
      <c r="Q11" s="6"/>
      <c r="R11" s="5" t="s">
        <v>32</v>
      </c>
      <c r="S11" s="5" t="s">
        <v>72</v>
      </c>
      <c r="T11" s="5" t="s">
        <v>27</v>
      </c>
      <c r="U11" s="7">
        <v>1.7800925925925925E-2</v>
      </c>
      <c r="V11" s="5" t="s">
        <v>22</v>
      </c>
      <c r="W11" s="5" t="s">
        <v>22</v>
      </c>
      <c r="X11" s="5" t="s">
        <v>23</v>
      </c>
      <c r="Y11" s="8">
        <v>44328</v>
      </c>
      <c r="Z11" s="9">
        <v>0.625</v>
      </c>
      <c r="AA11" s="9" t="s">
        <v>135</v>
      </c>
      <c r="AB11" s="9" t="s">
        <v>39</v>
      </c>
      <c r="AC11" s="9" t="s">
        <v>39</v>
      </c>
      <c r="AD11" s="9" t="s">
        <v>68</v>
      </c>
      <c r="AE11" s="5" t="s">
        <v>28</v>
      </c>
      <c r="AF11" s="5" t="s">
        <v>89</v>
      </c>
      <c r="AG11" s="10"/>
    </row>
    <row r="12" spans="1:33" x14ac:dyDescent="0.3">
      <c r="A12" s="5" t="s">
        <v>49</v>
      </c>
      <c r="B12" s="5" t="s">
        <v>74</v>
      </c>
      <c r="C12" s="5" t="s">
        <v>132</v>
      </c>
      <c r="D12" s="5" t="s">
        <v>17</v>
      </c>
      <c r="E12" s="5" t="s">
        <v>18</v>
      </c>
      <c r="F12" s="5" t="s">
        <v>26</v>
      </c>
      <c r="G12" s="5"/>
      <c r="H12" s="5" t="s">
        <v>42</v>
      </c>
      <c r="I12" s="5" t="s">
        <v>39</v>
      </c>
      <c r="J12" s="5"/>
      <c r="K12" s="5"/>
      <c r="L12" s="5"/>
      <c r="M12" s="5"/>
      <c r="N12" s="5"/>
      <c r="O12" s="5" t="s">
        <v>55</v>
      </c>
      <c r="P12" s="6"/>
      <c r="Q12" s="6"/>
      <c r="R12" s="5" t="s">
        <v>32</v>
      </c>
      <c r="S12" s="5" t="s">
        <v>72</v>
      </c>
      <c r="T12" s="5" t="s">
        <v>27</v>
      </c>
      <c r="U12" s="7">
        <v>1.3333333333333334E-2</v>
      </c>
      <c r="V12" s="5" t="s">
        <v>22</v>
      </c>
      <c r="W12" s="5" t="s">
        <v>22</v>
      </c>
      <c r="X12" s="5" t="s">
        <v>23</v>
      </c>
      <c r="Y12" s="8">
        <v>44368</v>
      </c>
      <c r="Z12" s="9">
        <v>0.45833333333333331</v>
      </c>
      <c r="AA12" s="9" t="s">
        <v>135</v>
      </c>
      <c r="AB12" s="9" t="s">
        <v>39</v>
      </c>
      <c r="AC12" s="9" t="s">
        <v>39</v>
      </c>
      <c r="AD12" s="9" t="s">
        <v>68</v>
      </c>
      <c r="AE12" s="5" t="s">
        <v>28</v>
      </c>
      <c r="AF12" s="5" t="s">
        <v>89</v>
      </c>
      <c r="AG12" s="10"/>
    </row>
    <row r="13" spans="1:33" x14ac:dyDescent="0.3">
      <c r="A13" s="14" t="s">
        <v>50</v>
      </c>
      <c r="B13" s="14" t="s">
        <v>74</v>
      </c>
      <c r="C13" s="14">
        <v>22</v>
      </c>
      <c r="D13" s="14" t="s">
        <v>17</v>
      </c>
      <c r="E13" s="14" t="s">
        <v>18</v>
      </c>
      <c r="F13" s="14" t="s">
        <v>26</v>
      </c>
      <c r="G13" s="14"/>
      <c r="H13" s="14" t="s">
        <v>128</v>
      </c>
      <c r="I13" s="5" t="s">
        <v>39</v>
      </c>
      <c r="J13" s="5"/>
      <c r="K13" s="5"/>
      <c r="L13" s="5"/>
      <c r="M13" s="5"/>
      <c r="N13" s="5"/>
      <c r="O13" s="5" t="s">
        <v>56</v>
      </c>
      <c r="P13" s="6" t="s">
        <v>39</v>
      </c>
      <c r="Q13" s="6"/>
      <c r="R13" s="5" t="s">
        <v>51</v>
      </c>
      <c r="S13" s="5" t="s">
        <v>52</v>
      </c>
      <c r="T13" s="5" t="s">
        <v>53</v>
      </c>
      <c r="U13" s="7">
        <v>7.6620370370370366E-3</v>
      </c>
      <c r="V13" s="5" t="s">
        <v>59</v>
      </c>
      <c r="W13" s="5" t="s">
        <v>120</v>
      </c>
      <c r="X13" s="5" t="s">
        <v>61</v>
      </c>
      <c r="Y13" s="8">
        <v>44426</v>
      </c>
      <c r="Z13" s="9">
        <v>0.375</v>
      </c>
      <c r="AA13" s="9" t="s">
        <v>135</v>
      </c>
      <c r="AB13" s="9" t="s">
        <v>39</v>
      </c>
      <c r="AC13" s="9" t="s">
        <v>39</v>
      </c>
      <c r="AD13" s="9" t="s">
        <v>68</v>
      </c>
      <c r="AE13" s="5" t="s">
        <v>24</v>
      </c>
      <c r="AF13" s="5" t="s">
        <v>89</v>
      </c>
      <c r="AG13" s="10"/>
    </row>
    <row r="14" spans="1:33" x14ac:dyDescent="0.3">
      <c r="A14" s="14" t="s">
        <v>60</v>
      </c>
      <c r="B14" s="14" t="s">
        <v>74</v>
      </c>
      <c r="C14" s="14">
        <v>36</v>
      </c>
      <c r="D14" s="14" t="s">
        <v>17</v>
      </c>
      <c r="E14" s="14" t="s">
        <v>18</v>
      </c>
      <c r="F14" s="14" t="s">
        <v>26</v>
      </c>
      <c r="G14" s="14"/>
      <c r="H14" s="14" t="s">
        <v>42</v>
      </c>
      <c r="I14" s="5" t="s">
        <v>39</v>
      </c>
      <c r="J14" s="5"/>
      <c r="K14" s="5"/>
      <c r="L14" s="5"/>
      <c r="M14" s="5"/>
      <c r="N14" s="5"/>
      <c r="O14" s="5" t="s">
        <v>56</v>
      </c>
      <c r="P14" s="6" t="s">
        <v>39</v>
      </c>
      <c r="Q14" s="6"/>
      <c r="R14" s="5" t="s">
        <v>51</v>
      </c>
      <c r="S14" s="5" t="s">
        <v>52</v>
      </c>
      <c r="T14" s="5" t="s">
        <v>53</v>
      </c>
      <c r="U14" s="7">
        <v>0.21597222222222223</v>
      </c>
      <c r="V14" s="5" t="s">
        <v>59</v>
      </c>
      <c r="W14" s="5" t="s">
        <v>120</v>
      </c>
      <c r="X14" s="5" t="s">
        <v>61</v>
      </c>
      <c r="Y14" s="8">
        <v>44426</v>
      </c>
      <c r="Z14" s="9">
        <v>0.41666666666666669</v>
      </c>
      <c r="AA14" s="9" t="s">
        <v>135</v>
      </c>
      <c r="AB14" s="9" t="s">
        <v>39</v>
      </c>
      <c r="AC14" s="9" t="s">
        <v>39</v>
      </c>
      <c r="AD14" s="9" t="s">
        <v>68</v>
      </c>
      <c r="AE14" s="5" t="s">
        <v>28</v>
      </c>
      <c r="AF14" s="5" t="s">
        <v>89</v>
      </c>
      <c r="AG14" s="10"/>
    </row>
    <row r="15" spans="1:33" x14ac:dyDescent="0.3">
      <c r="A15" s="14" t="s">
        <v>62</v>
      </c>
      <c r="B15" s="14" t="s">
        <v>74</v>
      </c>
      <c r="C15" s="14">
        <v>46</v>
      </c>
      <c r="D15" s="14" t="s">
        <v>17</v>
      </c>
      <c r="E15" s="14" t="s">
        <v>18</v>
      </c>
      <c r="F15" s="14" t="s">
        <v>26</v>
      </c>
      <c r="G15" s="14"/>
      <c r="H15" s="14" t="s">
        <v>129</v>
      </c>
      <c r="I15" s="5" t="s">
        <v>39</v>
      </c>
      <c r="J15" s="5"/>
      <c r="K15" s="5"/>
      <c r="L15" s="5"/>
      <c r="M15" s="5"/>
      <c r="N15" s="5"/>
      <c r="O15" s="5" t="s">
        <v>56</v>
      </c>
      <c r="P15" s="6" t="s">
        <v>39</v>
      </c>
      <c r="Q15" s="6"/>
      <c r="R15" s="5" t="s">
        <v>51</v>
      </c>
      <c r="S15" s="5" t="s">
        <v>52</v>
      </c>
      <c r="T15" s="5" t="s">
        <v>53</v>
      </c>
      <c r="U15" s="7">
        <v>1.9652777777777779E-2</v>
      </c>
      <c r="V15" s="5" t="s">
        <v>59</v>
      </c>
      <c r="W15" s="5" t="s">
        <v>120</v>
      </c>
      <c r="X15" s="5" t="s">
        <v>61</v>
      </c>
      <c r="Y15" s="8">
        <v>44426</v>
      </c>
      <c r="Z15" s="9">
        <v>0.45833333333333331</v>
      </c>
      <c r="AA15" s="9" t="s">
        <v>135</v>
      </c>
      <c r="AB15" s="9" t="s">
        <v>39</v>
      </c>
      <c r="AC15" s="9" t="s">
        <v>39</v>
      </c>
      <c r="AD15" s="9" t="s">
        <v>68</v>
      </c>
      <c r="AE15" s="5" t="s">
        <v>24</v>
      </c>
      <c r="AF15" s="5" t="s">
        <v>89</v>
      </c>
      <c r="AG15" s="10"/>
    </row>
    <row r="16" spans="1:33" x14ac:dyDescent="0.3">
      <c r="A16" s="14" t="s">
        <v>63</v>
      </c>
      <c r="B16" s="14" t="s">
        <v>74</v>
      </c>
      <c r="C16" s="14">
        <v>42</v>
      </c>
      <c r="D16" s="14" t="s">
        <v>17</v>
      </c>
      <c r="E16" s="14" t="s">
        <v>18</v>
      </c>
      <c r="F16" s="14" t="s">
        <v>26</v>
      </c>
      <c r="G16" s="14"/>
      <c r="H16" s="14" t="s">
        <v>130</v>
      </c>
      <c r="I16" s="5" t="s">
        <v>39</v>
      </c>
      <c r="J16" s="5"/>
      <c r="K16" s="5"/>
      <c r="L16" s="5"/>
      <c r="M16" s="5"/>
      <c r="N16" s="5"/>
      <c r="O16" s="5" t="s">
        <v>56</v>
      </c>
      <c r="P16" s="6" t="s">
        <v>39</v>
      </c>
      <c r="Q16" s="6" t="s">
        <v>39</v>
      </c>
      <c r="R16" s="5" t="s">
        <v>51</v>
      </c>
      <c r="S16" s="5" t="s">
        <v>52</v>
      </c>
      <c r="T16" s="5" t="s">
        <v>53</v>
      </c>
      <c r="U16" s="7">
        <v>2.3182870370370371E-2</v>
      </c>
      <c r="V16" s="5" t="s">
        <v>59</v>
      </c>
      <c r="W16" s="5" t="s">
        <v>120</v>
      </c>
      <c r="X16" s="5" t="s">
        <v>61</v>
      </c>
      <c r="Y16" s="8">
        <v>44426</v>
      </c>
      <c r="Z16" s="9">
        <v>0.58333333333333337</v>
      </c>
      <c r="AA16" s="9" t="s">
        <v>135</v>
      </c>
      <c r="AB16" s="9" t="s">
        <v>39</v>
      </c>
      <c r="AC16" s="9" t="s">
        <v>39</v>
      </c>
      <c r="AD16" s="9" t="s">
        <v>68</v>
      </c>
      <c r="AE16" s="5" t="s">
        <v>28</v>
      </c>
      <c r="AF16" s="5" t="s">
        <v>89</v>
      </c>
      <c r="AG16" s="10" t="s">
        <v>124</v>
      </c>
    </row>
    <row r="17" spans="1:33" x14ac:dyDescent="0.3">
      <c r="A17" s="14" t="s">
        <v>65</v>
      </c>
      <c r="B17" s="14" t="s">
        <v>74</v>
      </c>
      <c r="C17" s="14">
        <v>24</v>
      </c>
      <c r="D17" s="14" t="s">
        <v>17</v>
      </c>
      <c r="E17" s="14" t="s">
        <v>18</v>
      </c>
      <c r="F17" s="14" t="s">
        <v>26</v>
      </c>
      <c r="G17" s="14" t="s">
        <v>39</v>
      </c>
      <c r="H17" s="14" t="s">
        <v>131</v>
      </c>
      <c r="I17" s="5" t="s">
        <v>77</v>
      </c>
      <c r="J17" s="5" t="s">
        <v>101</v>
      </c>
      <c r="K17" s="5" t="s">
        <v>56</v>
      </c>
      <c r="L17" s="5" t="s">
        <v>104</v>
      </c>
      <c r="M17" s="5" t="s">
        <v>107</v>
      </c>
      <c r="N17" s="5" t="s">
        <v>117</v>
      </c>
      <c r="O17" s="5" t="s">
        <v>56</v>
      </c>
      <c r="P17" s="6" t="s">
        <v>39</v>
      </c>
      <c r="Q17" s="6"/>
      <c r="R17" s="5" t="s">
        <v>51</v>
      </c>
      <c r="S17" s="5" t="s">
        <v>52</v>
      </c>
      <c r="T17" s="5" t="s">
        <v>53</v>
      </c>
      <c r="U17" s="7">
        <v>1.0405092592592593E-2</v>
      </c>
      <c r="V17" s="5" t="s">
        <v>59</v>
      </c>
      <c r="W17" s="5" t="s">
        <v>120</v>
      </c>
      <c r="X17" s="5" t="s">
        <v>61</v>
      </c>
      <c r="Y17" s="8">
        <v>44426</v>
      </c>
      <c r="Z17" s="9">
        <v>0.625</v>
      </c>
      <c r="AA17" s="9" t="s">
        <v>135</v>
      </c>
      <c r="AB17" s="9" t="s">
        <v>39</v>
      </c>
      <c r="AC17" s="9" t="s">
        <v>39</v>
      </c>
      <c r="AD17" s="9" t="s">
        <v>69</v>
      </c>
      <c r="AE17" s="5" t="s">
        <v>66</v>
      </c>
      <c r="AF17" s="5" t="s">
        <v>89</v>
      </c>
      <c r="AG17" s="10"/>
    </row>
    <row r="18" spans="1:33" x14ac:dyDescent="0.3">
      <c r="A18" s="5" t="s">
        <v>126</v>
      </c>
      <c r="B18" s="5" t="s">
        <v>75</v>
      </c>
      <c r="C18" s="5">
        <v>29</v>
      </c>
      <c r="D18" s="5" t="s">
        <v>17</v>
      </c>
      <c r="E18" s="5" t="s">
        <v>18</v>
      </c>
      <c r="F18" s="5" t="s">
        <v>89</v>
      </c>
      <c r="G18" s="5"/>
      <c r="H18" s="5" t="s">
        <v>89</v>
      </c>
      <c r="I18" s="5" t="s">
        <v>77</v>
      </c>
      <c r="J18" s="5" t="s">
        <v>101</v>
      </c>
      <c r="K18" s="5" t="s">
        <v>109</v>
      </c>
      <c r="L18" s="5" t="s">
        <v>105</v>
      </c>
      <c r="M18" s="5" t="s">
        <v>107</v>
      </c>
      <c r="N18" s="5" t="s">
        <v>117</v>
      </c>
      <c r="O18" s="5" t="s">
        <v>97</v>
      </c>
      <c r="P18" s="6"/>
      <c r="Q18" s="6"/>
      <c r="R18" s="5" t="s">
        <v>32</v>
      </c>
      <c r="S18" s="5" t="s">
        <v>87</v>
      </c>
      <c r="T18" s="5" t="s">
        <v>27</v>
      </c>
      <c r="U18" s="7">
        <v>9.8842592592592576E-3</v>
      </c>
      <c r="V18" s="5" t="s">
        <v>80</v>
      </c>
      <c r="W18" s="5" t="s">
        <v>112</v>
      </c>
      <c r="X18" s="5" t="s">
        <v>81</v>
      </c>
      <c r="Y18" s="8">
        <v>44127</v>
      </c>
      <c r="Z18" s="9">
        <v>0.75</v>
      </c>
      <c r="AA18" s="9" t="s">
        <v>84</v>
      </c>
      <c r="AB18" s="9" t="s">
        <v>77</v>
      </c>
      <c r="AC18" s="9" t="s">
        <v>39</v>
      </c>
      <c r="AD18" s="9" t="s">
        <v>69</v>
      </c>
      <c r="AE18" s="5" t="s">
        <v>66</v>
      </c>
      <c r="AF18" s="5" t="s">
        <v>133</v>
      </c>
      <c r="AG18" s="10"/>
    </row>
    <row r="19" spans="1:33" x14ac:dyDescent="0.3">
      <c r="A19" s="5" t="s">
        <v>127</v>
      </c>
      <c r="B19" s="5" t="s">
        <v>75</v>
      </c>
      <c r="C19" s="5">
        <v>29</v>
      </c>
      <c r="D19" s="5" t="s">
        <v>36</v>
      </c>
      <c r="E19" s="5" t="s">
        <v>37</v>
      </c>
      <c r="F19" s="5" t="s">
        <v>89</v>
      </c>
      <c r="G19" s="5"/>
      <c r="H19" s="5" t="s">
        <v>89</v>
      </c>
      <c r="I19" s="5" t="s">
        <v>77</v>
      </c>
      <c r="J19" s="5" t="s">
        <v>101</v>
      </c>
      <c r="K19" s="5" t="s">
        <v>109</v>
      </c>
      <c r="L19" s="5" t="s">
        <v>105</v>
      </c>
      <c r="M19" s="5" t="s">
        <v>107</v>
      </c>
      <c r="N19" s="5" t="s">
        <v>117</v>
      </c>
      <c r="O19" s="5" t="s">
        <v>97</v>
      </c>
      <c r="P19" s="6"/>
      <c r="Q19" s="6"/>
      <c r="R19" s="5" t="s">
        <v>32</v>
      </c>
      <c r="S19" s="5" t="s">
        <v>87</v>
      </c>
      <c r="T19" s="5" t="s">
        <v>27</v>
      </c>
      <c r="U19" s="7">
        <v>6.9097222222222225E-3</v>
      </c>
      <c r="V19" s="5" t="s">
        <v>80</v>
      </c>
      <c r="W19" s="5" t="s">
        <v>112</v>
      </c>
      <c r="X19" s="5" t="s">
        <v>81</v>
      </c>
      <c r="Y19" s="8">
        <v>44127</v>
      </c>
      <c r="Z19" s="9">
        <v>0.79166666666666663</v>
      </c>
      <c r="AA19" s="9" t="s">
        <v>83</v>
      </c>
      <c r="AB19" s="9" t="s">
        <v>77</v>
      </c>
      <c r="AC19" s="9" t="s">
        <v>39</v>
      </c>
      <c r="AD19" s="9" t="s">
        <v>69</v>
      </c>
      <c r="AE19" s="5" t="s">
        <v>66</v>
      </c>
      <c r="AF19" s="5" t="s">
        <v>133</v>
      </c>
      <c r="AG19" s="10"/>
    </row>
    <row r="20" spans="1:33" x14ac:dyDescent="0.3">
      <c r="A20" s="5" t="s">
        <v>125</v>
      </c>
      <c r="B20" s="5" t="s">
        <v>75</v>
      </c>
      <c r="C20" s="5">
        <v>52</v>
      </c>
      <c r="D20" s="5" t="s">
        <v>36</v>
      </c>
      <c r="E20" s="5" t="s">
        <v>37</v>
      </c>
      <c r="F20" s="5" t="s">
        <v>89</v>
      </c>
      <c r="G20" s="5"/>
      <c r="H20" s="5" t="s">
        <v>89</v>
      </c>
      <c r="I20" s="5" t="s">
        <v>77</v>
      </c>
      <c r="J20" s="5" t="s">
        <v>102</v>
      </c>
      <c r="K20" s="5" t="s">
        <v>109</v>
      </c>
      <c r="L20" s="5" t="s">
        <v>105</v>
      </c>
      <c r="M20" s="5" t="s">
        <v>111</v>
      </c>
      <c r="N20" s="5" t="s">
        <v>117</v>
      </c>
      <c r="O20" s="5" t="s">
        <v>98</v>
      </c>
      <c r="P20" s="6"/>
      <c r="Q20" s="6"/>
      <c r="R20" s="5" t="s">
        <v>32</v>
      </c>
      <c r="S20" s="5" t="s">
        <v>114</v>
      </c>
      <c r="T20" s="5" t="s">
        <v>27</v>
      </c>
      <c r="U20" s="7">
        <v>1.2187500000000002E-2</v>
      </c>
      <c r="V20" s="5" t="s">
        <v>80</v>
      </c>
      <c r="W20" s="5" t="s">
        <v>112</v>
      </c>
      <c r="X20" s="5" t="s">
        <v>81</v>
      </c>
      <c r="Y20" s="8">
        <v>44130</v>
      </c>
      <c r="Z20" s="9">
        <v>0.45833333333333331</v>
      </c>
      <c r="AA20" s="9" t="s">
        <v>84</v>
      </c>
      <c r="AB20" s="9" t="s">
        <v>77</v>
      </c>
      <c r="AC20" s="9" t="s">
        <v>39</v>
      </c>
      <c r="AD20" s="9" t="s">
        <v>69</v>
      </c>
      <c r="AE20" s="5" t="s">
        <v>66</v>
      </c>
      <c r="AF20" s="5" t="s">
        <v>133</v>
      </c>
      <c r="AG20" s="10"/>
    </row>
    <row r="21" spans="1:33" x14ac:dyDescent="0.3">
      <c r="A21" s="5" t="s">
        <v>70</v>
      </c>
      <c r="B21" s="5" t="s">
        <v>75</v>
      </c>
      <c r="C21" s="5">
        <v>30</v>
      </c>
      <c r="D21" s="5" t="s">
        <v>36</v>
      </c>
      <c r="E21" s="5" t="s">
        <v>37</v>
      </c>
      <c r="F21" s="5" t="s">
        <v>89</v>
      </c>
      <c r="G21" s="5"/>
      <c r="H21" s="5" t="s">
        <v>89</v>
      </c>
      <c r="I21" s="5" t="s">
        <v>39</v>
      </c>
      <c r="J21" s="5"/>
      <c r="K21" s="5"/>
      <c r="L21" s="5"/>
      <c r="M21" s="5"/>
      <c r="N21" s="5"/>
      <c r="O21" s="5" t="s">
        <v>97</v>
      </c>
      <c r="P21" s="6"/>
      <c r="Q21" s="6"/>
      <c r="R21" s="5" t="s">
        <v>32</v>
      </c>
      <c r="S21" s="5" t="s">
        <v>71</v>
      </c>
      <c r="T21" s="5" t="s">
        <v>53</v>
      </c>
      <c r="U21" s="7">
        <v>2.1354166666666664E-2</v>
      </c>
      <c r="V21" s="5" t="s">
        <v>80</v>
      </c>
      <c r="W21" s="5" t="s">
        <v>112</v>
      </c>
      <c r="X21" s="5" t="s">
        <v>81</v>
      </c>
      <c r="Y21" s="8">
        <v>44266</v>
      </c>
      <c r="Z21" s="9">
        <v>0.75</v>
      </c>
      <c r="AA21" s="9" t="s">
        <v>83</v>
      </c>
      <c r="AB21" s="9" t="s">
        <v>39</v>
      </c>
      <c r="AC21" s="9" t="s">
        <v>39</v>
      </c>
      <c r="AD21" s="9" t="s">
        <v>68</v>
      </c>
      <c r="AE21" s="5" t="s">
        <v>28</v>
      </c>
      <c r="AF21" s="5" t="s">
        <v>133</v>
      </c>
      <c r="AG21" s="10"/>
    </row>
    <row r="22" spans="1:33" x14ac:dyDescent="0.3">
      <c r="A22" s="5" t="s">
        <v>78</v>
      </c>
      <c r="B22" s="5" t="s">
        <v>75</v>
      </c>
      <c r="C22" s="5">
        <v>23</v>
      </c>
      <c r="D22" s="5" t="s">
        <v>17</v>
      </c>
      <c r="E22" s="5" t="s">
        <v>18</v>
      </c>
      <c r="F22" s="5" t="s">
        <v>89</v>
      </c>
      <c r="G22" s="5"/>
      <c r="H22" s="5" t="s">
        <v>89</v>
      </c>
      <c r="I22" s="5" t="s">
        <v>39</v>
      </c>
      <c r="J22" s="5"/>
      <c r="K22" s="5"/>
      <c r="L22" s="5"/>
      <c r="M22" s="5"/>
      <c r="N22" s="5"/>
      <c r="O22" s="5" t="s">
        <v>98</v>
      </c>
      <c r="P22" s="6"/>
      <c r="Q22" s="6"/>
      <c r="R22" s="5" t="s">
        <v>32</v>
      </c>
      <c r="S22" s="5" t="s">
        <v>79</v>
      </c>
      <c r="T22" s="5" t="s">
        <v>53</v>
      </c>
      <c r="U22" s="7">
        <v>2.0729166666666667E-2</v>
      </c>
      <c r="V22" s="5" t="s">
        <v>80</v>
      </c>
      <c r="W22" s="5" t="s">
        <v>112</v>
      </c>
      <c r="X22" s="5" t="s">
        <v>81</v>
      </c>
      <c r="Y22" s="8">
        <v>44363</v>
      </c>
      <c r="Z22" s="9">
        <v>0.54166666666666663</v>
      </c>
      <c r="AA22" s="9" t="s">
        <v>84</v>
      </c>
      <c r="AB22" s="9" t="s">
        <v>77</v>
      </c>
      <c r="AC22" s="9" t="s">
        <v>39</v>
      </c>
      <c r="AD22" s="9" t="s">
        <v>68</v>
      </c>
      <c r="AE22" s="5" t="s">
        <v>28</v>
      </c>
      <c r="AF22" s="5" t="s">
        <v>133</v>
      </c>
      <c r="AG22" s="10"/>
    </row>
    <row r="23" spans="1:33" x14ac:dyDescent="0.3">
      <c r="A23" s="5" t="s">
        <v>76</v>
      </c>
      <c r="B23" s="5" t="s">
        <v>75</v>
      </c>
      <c r="C23" s="5">
        <v>39</v>
      </c>
      <c r="D23" s="5" t="s">
        <v>36</v>
      </c>
      <c r="E23" s="5" t="s">
        <v>37</v>
      </c>
      <c r="F23" s="5" t="s">
        <v>89</v>
      </c>
      <c r="G23" s="5"/>
      <c r="H23" s="5" t="s">
        <v>89</v>
      </c>
      <c r="I23" s="5" t="s">
        <v>39</v>
      </c>
      <c r="J23" s="5"/>
      <c r="K23" s="5"/>
      <c r="L23" s="5"/>
      <c r="M23" s="5"/>
      <c r="N23" s="5"/>
      <c r="O23" s="5" t="s">
        <v>98</v>
      </c>
      <c r="P23" s="6"/>
      <c r="Q23" s="6"/>
      <c r="R23" s="5" t="s">
        <v>32</v>
      </c>
      <c r="S23" s="5" t="s">
        <v>85</v>
      </c>
      <c r="T23" s="5" t="s">
        <v>53</v>
      </c>
      <c r="U23" s="7">
        <v>3.9444444444444442E-2</v>
      </c>
      <c r="V23" s="5" t="s">
        <v>80</v>
      </c>
      <c r="W23" s="5" t="s">
        <v>112</v>
      </c>
      <c r="X23" s="5" t="s">
        <v>81</v>
      </c>
      <c r="Y23" s="8">
        <v>44363</v>
      </c>
      <c r="Z23" s="9">
        <v>0.66666666666666663</v>
      </c>
      <c r="AA23" s="5" t="s">
        <v>84</v>
      </c>
      <c r="AB23" s="9" t="s">
        <v>77</v>
      </c>
      <c r="AC23" s="9" t="s">
        <v>77</v>
      </c>
      <c r="AD23" s="9" t="s">
        <v>68</v>
      </c>
      <c r="AE23" s="9" t="s">
        <v>24</v>
      </c>
      <c r="AF23" s="5" t="s">
        <v>133</v>
      </c>
      <c r="AG23" s="10"/>
    </row>
    <row r="24" spans="1:33" x14ac:dyDescent="0.3">
      <c r="A24" s="5" t="s">
        <v>86</v>
      </c>
      <c r="B24" s="5" t="s">
        <v>75</v>
      </c>
      <c r="C24" s="5">
        <v>43</v>
      </c>
      <c r="D24" s="5" t="s">
        <v>36</v>
      </c>
      <c r="E24" s="5" t="s">
        <v>37</v>
      </c>
      <c r="F24" s="5" t="s">
        <v>89</v>
      </c>
      <c r="G24" s="5"/>
      <c r="H24" s="5" t="s">
        <v>89</v>
      </c>
      <c r="I24" s="5" t="s">
        <v>39</v>
      </c>
      <c r="J24" s="5"/>
      <c r="K24" s="5"/>
      <c r="L24" s="5"/>
      <c r="M24" s="5"/>
      <c r="N24" s="5"/>
      <c r="O24" s="5" t="s">
        <v>97</v>
      </c>
      <c r="P24" s="6"/>
      <c r="Q24" s="6"/>
      <c r="R24" s="5" t="s">
        <v>32</v>
      </c>
      <c r="S24" s="5" t="s">
        <v>87</v>
      </c>
      <c r="T24" s="5" t="s">
        <v>53</v>
      </c>
      <c r="U24" s="7">
        <v>3.2118055555555559E-2</v>
      </c>
      <c r="V24" s="5" t="s">
        <v>80</v>
      </c>
      <c r="W24" s="5" t="s">
        <v>112</v>
      </c>
      <c r="X24" s="5" t="s">
        <v>81</v>
      </c>
      <c r="Y24" s="8">
        <v>44250</v>
      </c>
      <c r="Z24" s="9">
        <v>0.58333333333333337</v>
      </c>
      <c r="AA24" s="9" t="s">
        <v>88</v>
      </c>
      <c r="AB24" s="9" t="s">
        <v>39</v>
      </c>
      <c r="AC24" s="9" t="s">
        <v>39</v>
      </c>
      <c r="AD24" s="9" t="s">
        <v>68</v>
      </c>
      <c r="AE24" s="9" t="s">
        <v>24</v>
      </c>
      <c r="AF24" s="5" t="s">
        <v>133</v>
      </c>
      <c r="AG24" s="15" t="s">
        <v>121</v>
      </c>
    </row>
    <row r="25" spans="1:33" x14ac:dyDescent="0.3">
      <c r="A25" s="5" t="s">
        <v>90</v>
      </c>
      <c r="B25" s="5" t="s">
        <v>75</v>
      </c>
      <c r="C25" s="5">
        <v>31</v>
      </c>
      <c r="D25" s="5" t="s">
        <v>17</v>
      </c>
      <c r="E25" s="5" t="s">
        <v>18</v>
      </c>
      <c r="F25" s="5" t="s">
        <v>89</v>
      </c>
      <c r="G25" s="5"/>
      <c r="H25" s="5" t="s">
        <v>89</v>
      </c>
      <c r="I25" s="5" t="s">
        <v>77</v>
      </c>
      <c r="J25" s="5" t="s">
        <v>102</v>
      </c>
      <c r="K25" s="5" t="s">
        <v>109</v>
      </c>
      <c r="L25" s="5" t="s">
        <v>105</v>
      </c>
      <c r="M25" s="5" t="s">
        <v>111</v>
      </c>
      <c r="N25" s="5" t="s">
        <v>117</v>
      </c>
      <c r="O25" s="5" t="s">
        <v>97</v>
      </c>
      <c r="P25" s="6"/>
      <c r="Q25" s="6"/>
      <c r="R25" s="5" t="s">
        <v>32</v>
      </c>
      <c r="S25" s="5" t="s">
        <v>87</v>
      </c>
      <c r="T25" s="5" t="s">
        <v>53</v>
      </c>
      <c r="U25" s="7">
        <v>6.9212962962962969E-3</v>
      </c>
      <c r="V25" s="5" t="s">
        <v>80</v>
      </c>
      <c r="W25" s="5" t="s">
        <v>112</v>
      </c>
      <c r="X25" s="5" t="s">
        <v>81</v>
      </c>
      <c r="Y25" s="8">
        <v>44257</v>
      </c>
      <c r="Z25" s="9">
        <v>0.70833333333333337</v>
      </c>
      <c r="AA25" s="9" t="s">
        <v>88</v>
      </c>
      <c r="AB25" s="9" t="s">
        <v>39</v>
      </c>
      <c r="AC25" s="9" t="s">
        <v>39</v>
      </c>
      <c r="AD25" s="9" t="s">
        <v>69</v>
      </c>
      <c r="AE25" s="9" t="s">
        <v>66</v>
      </c>
      <c r="AF25" s="5" t="s">
        <v>133</v>
      </c>
      <c r="AG25" s="10"/>
    </row>
    <row r="26" spans="1:33" x14ac:dyDescent="0.3">
      <c r="A26" s="5" t="s">
        <v>91</v>
      </c>
      <c r="B26" s="5" t="s">
        <v>75</v>
      </c>
      <c r="C26" s="5">
        <v>27</v>
      </c>
      <c r="D26" s="5" t="s">
        <v>36</v>
      </c>
      <c r="E26" s="5" t="s">
        <v>37</v>
      </c>
      <c r="F26" s="5" t="s">
        <v>89</v>
      </c>
      <c r="G26" s="5"/>
      <c r="H26" s="5" t="s">
        <v>89</v>
      </c>
      <c r="I26" s="5" t="s">
        <v>77</v>
      </c>
      <c r="J26" s="5" t="s">
        <v>101</v>
      </c>
      <c r="K26" s="5" t="s">
        <v>109</v>
      </c>
      <c r="L26" s="5" t="s">
        <v>105</v>
      </c>
      <c r="M26" s="5" t="s">
        <v>111</v>
      </c>
      <c r="N26" s="5" t="s">
        <v>117</v>
      </c>
      <c r="O26" s="5" t="s">
        <v>97</v>
      </c>
      <c r="P26" s="6"/>
      <c r="Q26" s="6"/>
      <c r="R26" s="5" t="s">
        <v>32</v>
      </c>
      <c r="S26" s="5" t="s">
        <v>87</v>
      </c>
      <c r="T26" s="5" t="s">
        <v>53</v>
      </c>
      <c r="U26" s="7">
        <v>9.8726851851851857E-3</v>
      </c>
      <c r="V26" s="5" t="s">
        <v>80</v>
      </c>
      <c r="W26" s="5" t="s">
        <v>112</v>
      </c>
      <c r="X26" s="5" t="s">
        <v>81</v>
      </c>
      <c r="Y26" s="8">
        <v>44264</v>
      </c>
      <c r="Z26" s="9">
        <v>0.58333333333333337</v>
      </c>
      <c r="AA26" s="9" t="s">
        <v>88</v>
      </c>
      <c r="AB26" s="9" t="s">
        <v>39</v>
      </c>
      <c r="AC26" s="9" t="s">
        <v>39</v>
      </c>
      <c r="AD26" s="9" t="s">
        <v>69</v>
      </c>
      <c r="AE26" s="9" t="s">
        <v>66</v>
      </c>
      <c r="AF26" s="5" t="s">
        <v>133</v>
      </c>
      <c r="AG26" s="10"/>
    </row>
    <row r="27" spans="1:33" x14ac:dyDescent="0.3">
      <c r="A27" s="5" t="s">
        <v>92</v>
      </c>
      <c r="B27" s="5" t="s">
        <v>75</v>
      </c>
      <c r="C27" s="5">
        <v>24</v>
      </c>
      <c r="D27" s="5" t="s">
        <v>36</v>
      </c>
      <c r="E27" s="5" t="s">
        <v>37</v>
      </c>
      <c r="F27" s="5" t="s">
        <v>89</v>
      </c>
      <c r="G27" s="5"/>
      <c r="H27" s="5" t="s">
        <v>89</v>
      </c>
      <c r="I27" s="5" t="s">
        <v>77</v>
      </c>
      <c r="J27" s="5" t="s">
        <v>101</v>
      </c>
      <c r="K27" s="5" t="s">
        <v>109</v>
      </c>
      <c r="L27" s="5" t="s">
        <v>105</v>
      </c>
      <c r="M27" s="5" t="s">
        <v>107</v>
      </c>
      <c r="N27" s="5" t="s">
        <v>117</v>
      </c>
      <c r="O27" s="5" t="s">
        <v>97</v>
      </c>
      <c r="P27" s="6"/>
      <c r="Q27" s="6"/>
      <c r="R27" s="5" t="s">
        <v>32</v>
      </c>
      <c r="S27" s="5" t="s">
        <v>85</v>
      </c>
      <c r="T27" s="5" t="s">
        <v>53</v>
      </c>
      <c r="U27" s="7">
        <v>6.238425925925925E-3</v>
      </c>
      <c r="V27" s="5" t="s">
        <v>80</v>
      </c>
      <c r="W27" s="5" t="s">
        <v>112</v>
      </c>
      <c r="X27" s="5" t="s">
        <v>81</v>
      </c>
      <c r="Y27" s="8">
        <v>44516</v>
      </c>
      <c r="Z27" s="9">
        <v>0.45833333333333331</v>
      </c>
      <c r="AA27" s="9" t="s">
        <v>83</v>
      </c>
      <c r="AB27" s="9" t="s">
        <v>39</v>
      </c>
      <c r="AC27" s="9" t="s">
        <v>39</v>
      </c>
      <c r="AD27" s="9" t="s">
        <v>69</v>
      </c>
      <c r="AE27" s="9" t="s">
        <v>66</v>
      </c>
      <c r="AF27" s="5" t="s">
        <v>133</v>
      </c>
      <c r="AG27" s="10"/>
    </row>
    <row r="28" spans="1:33" x14ac:dyDescent="0.3">
      <c r="A28" s="5" t="s">
        <v>110</v>
      </c>
      <c r="B28" s="5" t="s">
        <v>75</v>
      </c>
      <c r="C28" s="5">
        <v>33</v>
      </c>
      <c r="D28" s="5" t="s">
        <v>36</v>
      </c>
      <c r="E28" s="5" t="s">
        <v>37</v>
      </c>
      <c r="F28" s="5" t="s">
        <v>89</v>
      </c>
      <c r="G28" s="5"/>
      <c r="H28" s="5" t="s">
        <v>89</v>
      </c>
      <c r="I28" s="5" t="s">
        <v>77</v>
      </c>
      <c r="J28" s="5" t="s">
        <v>102</v>
      </c>
      <c r="K28" s="5" t="s">
        <v>109</v>
      </c>
      <c r="L28" s="5" t="s">
        <v>105</v>
      </c>
      <c r="M28" s="5" t="s">
        <v>107</v>
      </c>
      <c r="N28" s="5" t="s">
        <v>118</v>
      </c>
      <c r="O28" s="5" t="s">
        <v>97</v>
      </c>
      <c r="P28" s="6"/>
      <c r="Q28" s="6"/>
      <c r="R28" s="5" t="s">
        <v>32</v>
      </c>
      <c r="S28" s="5" t="s">
        <v>87</v>
      </c>
      <c r="T28" s="5" t="s">
        <v>53</v>
      </c>
      <c r="U28" s="7">
        <v>9.780092592592592E-3</v>
      </c>
      <c r="V28" s="5" t="s">
        <v>80</v>
      </c>
      <c r="W28" s="5" t="s">
        <v>112</v>
      </c>
      <c r="X28" s="5" t="s">
        <v>81</v>
      </c>
      <c r="Y28" s="8">
        <v>44272</v>
      </c>
      <c r="Z28" s="9">
        <v>0.54166666666666663</v>
      </c>
      <c r="AA28" s="9" t="s">
        <v>88</v>
      </c>
      <c r="AB28" s="9" t="s">
        <v>77</v>
      </c>
      <c r="AC28" s="9" t="s">
        <v>39</v>
      </c>
      <c r="AD28" s="9" t="s">
        <v>69</v>
      </c>
      <c r="AE28" s="9" t="s">
        <v>66</v>
      </c>
      <c r="AF28" s="5" t="s">
        <v>133</v>
      </c>
      <c r="AG28" s="10"/>
    </row>
    <row r="29" spans="1:33" x14ac:dyDescent="0.3">
      <c r="A29" s="5" t="s">
        <v>93</v>
      </c>
      <c r="B29" s="5" t="s">
        <v>75</v>
      </c>
      <c r="C29" s="5">
        <v>53</v>
      </c>
      <c r="D29" s="5" t="s">
        <v>36</v>
      </c>
      <c r="E29" s="5" t="s">
        <v>37</v>
      </c>
      <c r="F29" s="5" t="s">
        <v>89</v>
      </c>
      <c r="G29" s="5"/>
      <c r="H29" s="5" t="s">
        <v>89</v>
      </c>
      <c r="I29" s="5" t="s">
        <v>77</v>
      </c>
      <c r="J29" s="5" t="s">
        <v>102</v>
      </c>
      <c r="K29" s="5" t="s">
        <v>109</v>
      </c>
      <c r="L29" s="5" t="s">
        <v>105</v>
      </c>
      <c r="M29" s="5" t="s">
        <v>111</v>
      </c>
      <c r="N29" s="5" t="s">
        <v>117</v>
      </c>
      <c r="O29" s="5" t="s">
        <v>97</v>
      </c>
      <c r="P29" s="6"/>
      <c r="Q29" s="6"/>
      <c r="R29" s="5" t="s">
        <v>32</v>
      </c>
      <c r="S29" s="5" t="s">
        <v>87</v>
      </c>
      <c r="T29" s="5" t="s">
        <v>53</v>
      </c>
      <c r="U29" s="7">
        <v>1.8692129629629631E-2</v>
      </c>
      <c r="V29" s="5" t="s">
        <v>80</v>
      </c>
      <c r="W29" s="5" t="s">
        <v>112</v>
      </c>
      <c r="X29" s="5" t="s">
        <v>81</v>
      </c>
      <c r="Y29" s="8">
        <v>44519</v>
      </c>
      <c r="Z29" s="9">
        <v>0.41666666666666669</v>
      </c>
      <c r="AA29" s="9" t="s">
        <v>84</v>
      </c>
      <c r="AB29" s="9" t="s">
        <v>77</v>
      </c>
      <c r="AC29" s="9" t="s">
        <v>39</v>
      </c>
      <c r="AD29" s="9" t="s">
        <v>69</v>
      </c>
      <c r="AE29" s="9" t="s">
        <v>66</v>
      </c>
      <c r="AF29" s="5" t="s">
        <v>133</v>
      </c>
      <c r="AG29" s="10"/>
    </row>
    <row r="30" spans="1:33" x14ac:dyDescent="0.3">
      <c r="A30" s="5" t="s">
        <v>94</v>
      </c>
      <c r="B30" s="5" t="s">
        <v>75</v>
      </c>
      <c r="C30" s="5">
        <v>30</v>
      </c>
      <c r="D30" s="5" t="s">
        <v>36</v>
      </c>
      <c r="E30" s="5" t="s">
        <v>37</v>
      </c>
      <c r="F30" s="5" t="s">
        <v>89</v>
      </c>
      <c r="G30" s="5"/>
      <c r="H30" s="5" t="s">
        <v>89</v>
      </c>
      <c r="I30" s="5" t="s">
        <v>77</v>
      </c>
      <c r="J30" s="5" t="s">
        <v>102</v>
      </c>
      <c r="K30" s="5" t="s">
        <v>109</v>
      </c>
      <c r="L30" s="5" t="s">
        <v>105</v>
      </c>
      <c r="M30" s="5" t="s">
        <v>107</v>
      </c>
      <c r="N30" s="5" t="s">
        <v>117</v>
      </c>
      <c r="O30" s="5" t="s">
        <v>97</v>
      </c>
      <c r="P30" s="6"/>
      <c r="Q30" s="6"/>
      <c r="R30" s="5" t="s">
        <v>32</v>
      </c>
      <c r="S30" s="5" t="s">
        <v>113</v>
      </c>
      <c r="T30" s="5" t="s">
        <v>53</v>
      </c>
      <c r="U30" s="7">
        <v>1.638888888888889E-2</v>
      </c>
      <c r="V30" s="5" t="s">
        <v>80</v>
      </c>
      <c r="W30" s="5" t="s">
        <v>112</v>
      </c>
      <c r="X30" s="5" t="s">
        <v>81</v>
      </c>
      <c r="Y30" s="8">
        <v>44523</v>
      </c>
      <c r="Z30" s="9">
        <v>0.58333333333333337</v>
      </c>
      <c r="AA30" s="9" t="s">
        <v>84</v>
      </c>
      <c r="AB30" s="9" t="s">
        <v>39</v>
      </c>
      <c r="AC30" s="9" t="s">
        <v>39</v>
      </c>
      <c r="AD30" s="9" t="s">
        <v>69</v>
      </c>
      <c r="AE30" s="9" t="s">
        <v>66</v>
      </c>
      <c r="AF30" s="5" t="s">
        <v>133</v>
      </c>
      <c r="AG30" s="10"/>
    </row>
    <row r="31" spans="1:33" x14ac:dyDescent="0.3">
      <c r="A31" s="5" t="s">
        <v>95</v>
      </c>
      <c r="B31" s="5" t="s">
        <v>75</v>
      </c>
      <c r="C31" s="5">
        <v>38</v>
      </c>
      <c r="D31" s="5" t="s">
        <v>36</v>
      </c>
      <c r="E31" s="5" t="s">
        <v>37</v>
      </c>
      <c r="F31" s="5" t="s">
        <v>89</v>
      </c>
      <c r="G31" s="5"/>
      <c r="H31" s="5" t="s">
        <v>89</v>
      </c>
      <c r="I31" s="5" t="s">
        <v>77</v>
      </c>
      <c r="J31" s="5" t="s">
        <v>102</v>
      </c>
      <c r="K31" s="5" t="s">
        <v>109</v>
      </c>
      <c r="L31" s="5" t="s">
        <v>105</v>
      </c>
      <c r="M31" s="5" t="s">
        <v>107</v>
      </c>
      <c r="N31" s="5" t="s">
        <v>117</v>
      </c>
      <c r="O31" s="5" t="s">
        <v>97</v>
      </c>
      <c r="P31" s="6"/>
      <c r="Q31" s="6"/>
      <c r="R31" s="5" t="s">
        <v>32</v>
      </c>
      <c r="S31" s="5" t="s">
        <v>114</v>
      </c>
      <c r="T31" s="5" t="s">
        <v>53</v>
      </c>
      <c r="U31" s="7">
        <v>1.3483796296296298E-2</v>
      </c>
      <c r="V31" s="5" t="s">
        <v>80</v>
      </c>
      <c r="W31" s="5" t="s">
        <v>112</v>
      </c>
      <c r="X31" s="5" t="s">
        <v>81</v>
      </c>
      <c r="Y31" s="8">
        <v>44497</v>
      </c>
      <c r="Z31" s="9">
        <v>0.45833333333333331</v>
      </c>
      <c r="AA31" s="9" t="s">
        <v>88</v>
      </c>
      <c r="AB31" s="9" t="s">
        <v>39</v>
      </c>
      <c r="AC31" s="9" t="s">
        <v>39</v>
      </c>
      <c r="AD31" s="9" t="s">
        <v>69</v>
      </c>
      <c r="AE31" s="9" t="s">
        <v>66</v>
      </c>
      <c r="AF31" s="5" t="s">
        <v>133</v>
      </c>
      <c r="AG31" s="10"/>
    </row>
    <row r="32" spans="1:33" s="1" customFormat="1" x14ac:dyDescent="0.3">
      <c r="A32" s="6" t="s">
        <v>96</v>
      </c>
      <c r="B32" s="6" t="s">
        <v>75</v>
      </c>
      <c r="C32" s="6">
        <v>57</v>
      </c>
      <c r="D32" s="6" t="s">
        <v>36</v>
      </c>
      <c r="E32" s="6" t="s">
        <v>37</v>
      </c>
      <c r="F32" s="6" t="s">
        <v>89</v>
      </c>
      <c r="G32" s="6"/>
      <c r="H32" s="6" t="s">
        <v>89</v>
      </c>
      <c r="I32" s="6" t="s">
        <v>77</v>
      </c>
      <c r="J32" s="6" t="s">
        <v>102</v>
      </c>
      <c r="K32" s="6" t="s">
        <v>109</v>
      </c>
      <c r="L32" s="6" t="s">
        <v>105</v>
      </c>
      <c r="M32" s="6" t="s">
        <v>107</v>
      </c>
      <c r="N32" s="6" t="s">
        <v>118</v>
      </c>
      <c r="O32" s="6" t="s">
        <v>97</v>
      </c>
      <c r="P32" s="6"/>
      <c r="Q32" s="6"/>
      <c r="R32" s="6" t="s">
        <v>32</v>
      </c>
      <c r="S32" s="6" t="s">
        <v>115</v>
      </c>
      <c r="T32" s="6" t="s">
        <v>53</v>
      </c>
      <c r="U32" s="11">
        <v>1.0277777777777778E-2</v>
      </c>
      <c r="V32" s="6" t="s">
        <v>80</v>
      </c>
      <c r="W32" s="6" t="s">
        <v>112</v>
      </c>
      <c r="X32" s="6" t="s">
        <v>81</v>
      </c>
      <c r="Y32" s="12">
        <v>44499</v>
      </c>
      <c r="Z32" s="13">
        <v>0.375</v>
      </c>
      <c r="AA32" s="13" t="s">
        <v>88</v>
      </c>
      <c r="AB32" s="13" t="s">
        <v>77</v>
      </c>
      <c r="AC32" s="13" t="s">
        <v>39</v>
      </c>
      <c r="AD32" s="13" t="s">
        <v>69</v>
      </c>
      <c r="AE32" s="13" t="s">
        <v>66</v>
      </c>
      <c r="AF32" s="6" t="s">
        <v>133</v>
      </c>
      <c r="AG32" s="6" t="s">
        <v>134</v>
      </c>
    </row>
    <row r="33" spans="1:21" x14ac:dyDescent="0.3">
      <c r="U33" s="17"/>
    </row>
    <row r="36" spans="1:21" x14ac:dyDescent="0.3">
      <c r="A36" s="2" t="s">
        <v>122</v>
      </c>
      <c r="C36" s="17">
        <f>SUM(U2:U17)</f>
        <v>0.65796296296296286</v>
      </c>
    </row>
    <row r="37" spans="1:21" x14ac:dyDescent="0.3">
      <c r="A37" s="2" t="s">
        <v>123</v>
      </c>
      <c r="C37" s="17">
        <f>SUM(U18:U32)</f>
        <v>0.23428240740740738</v>
      </c>
    </row>
    <row r="44" spans="1:21" x14ac:dyDescent="0.3">
      <c r="B44" s="18"/>
    </row>
    <row r="45" spans="1:21" x14ac:dyDescent="0.3">
      <c r="B45" s="18"/>
    </row>
    <row r="46" spans="1:21" x14ac:dyDescent="0.3">
      <c r="B46" s="18"/>
    </row>
    <row r="47" spans="1:21" x14ac:dyDescent="0.3">
      <c r="B47" s="18"/>
    </row>
    <row r="48" spans="1:21" x14ac:dyDescent="0.3">
      <c r="B48" s="18"/>
    </row>
    <row r="49" spans="2:2" x14ac:dyDescent="0.3">
      <c r="B49" s="18"/>
    </row>
    <row r="50" spans="2:2" x14ac:dyDescent="0.3">
      <c r="B50" s="18"/>
    </row>
    <row r="51" spans="2:2" x14ac:dyDescent="0.3">
      <c r="B51" s="18"/>
    </row>
    <row r="52" spans="2:2" x14ac:dyDescent="0.3">
      <c r="B52" s="18"/>
    </row>
    <row r="53" spans="2:2" x14ac:dyDescent="0.3">
      <c r="B53" s="18"/>
    </row>
    <row r="54" spans="2:2" x14ac:dyDescent="0.3">
      <c r="B54" s="18"/>
    </row>
    <row r="55" spans="2:2" x14ac:dyDescent="0.3">
      <c r="B55" s="18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 Delgaram-Nejad</dc:creator>
  <cp:lastModifiedBy>Oli Delgaram-Nejad</cp:lastModifiedBy>
  <cp:lastPrinted>2021-08-21T10:57:42Z</cp:lastPrinted>
  <dcterms:created xsi:type="dcterms:W3CDTF">2015-06-05T18:17:20Z</dcterms:created>
  <dcterms:modified xsi:type="dcterms:W3CDTF">2023-09-11T19:50:53Z</dcterms:modified>
</cp:coreProperties>
</file>